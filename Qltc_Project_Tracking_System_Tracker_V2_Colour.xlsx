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krishnapraveenrao/Documents/2Dreams/1ConsultancyandTraining/1QuantumLeap/3Operations/2 Operations Strategy/1 Project Management/Qltc Project Tracker and Customer Communication/"/>
    </mc:Choice>
  </mc:AlternateContent>
  <xr:revisionPtr revIDLastSave="0" documentId="8_{61867264-1671-BB44-949A-EE8BA37522E3}" xr6:coauthVersionLast="47" xr6:coauthVersionMax="47" xr10:uidLastSave="{00000000-0000-0000-0000-000000000000}"/>
  <bookViews>
    <workbookView xWindow="0" yWindow="0" windowWidth="28160" windowHeight="17620" tabRatio="500" xr2:uid="{00000000-000D-0000-FFFF-FFFF00000000}"/>
  </bookViews>
  <sheets>
    <sheet name="Dashboard" sheetId="1" r:id="rId1"/>
    <sheet name="Project Tracking System V2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7" i="2" l="1"/>
  <c r="C5" i="1" s="1"/>
  <c r="AA1" i="2"/>
  <c r="U1" i="2"/>
  <c r="N1" i="2"/>
  <c r="H1" i="2"/>
  <c r="B1" i="2"/>
  <c r="C15" i="1"/>
  <c r="B15" i="1"/>
  <c r="D15" i="1" s="1"/>
  <c r="E15" i="1" s="1"/>
  <c r="C14" i="1"/>
  <c r="B14" i="1"/>
  <c r="D14" i="1" s="1"/>
  <c r="E14" i="1" s="1"/>
  <c r="C13" i="1"/>
  <c r="B13" i="1"/>
  <c r="D13" i="1" s="1"/>
  <c r="E13" i="1" s="1"/>
  <c r="C12" i="1"/>
  <c r="B12" i="1"/>
  <c r="D12" i="1" s="1"/>
  <c r="E12" i="1" s="1"/>
  <c r="C11" i="1"/>
  <c r="B23" i="1" s="1"/>
  <c r="B11" i="1"/>
  <c r="G5" i="1"/>
  <c r="A5" i="1"/>
  <c r="B22" i="1" l="1"/>
  <c r="D11" i="1"/>
  <c r="E11" i="1" s="1"/>
  <c r="E5" i="1" s="1"/>
</calcChain>
</file>

<file path=xl/sharedStrings.xml><?xml version="1.0" encoding="utf-8"?>
<sst xmlns="http://schemas.openxmlformats.org/spreadsheetml/2006/main" count="303" uniqueCount="88">
  <si>
    <t>Qltc Project Tracking System</t>
  </si>
  <si>
    <t>Design Thinking + Spiral Model  |  Project Tracker Dashboard (V2)</t>
  </si>
  <si>
    <t>VERSION</t>
  </si>
  <si>
    <t>OVERALL % COMPLETE</t>
  </si>
  <si>
    <t>BOTTLENECK STAGE</t>
  </si>
  <si>
    <t>TOPICS TRACKED</t>
  </si>
  <si>
    <t>PROGRESS BY PHASE</t>
  </si>
  <si>
    <t>Stage</t>
  </si>
  <si>
    <t>Closed</t>
  </si>
  <si>
    <t>Open</t>
  </si>
  <si>
    <t>Total</t>
  </si>
  <si>
    <t>% Complete</t>
  </si>
  <si>
    <t>Empathise</t>
  </si>
  <si>
    <t>Define</t>
  </si>
  <si>
    <t>Ideate</t>
  </si>
  <si>
    <t>Prototype</t>
  </si>
  <si>
    <t>Testing</t>
  </si>
  <si>
    <t>Closed (all phases)</t>
  </si>
  <si>
    <t>Open (all phases)</t>
  </si>
  <si>
    <t>HOW TO READ THIS DASHBOARD</t>
  </si>
  <si>
    <t>•  Version and Overall % Complete pull live from the Iteration Info block on the main sheet - no manual updates needed.</t>
  </si>
  <si>
    <t>•  Bottleneck Stage highlights whichever phase has the lowest % Complete right now, so you always know where attention is needed.</t>
  </si>
  <si>
    <t>•  The phase table and both charts recalculate automatically as topics move from Open to Closed on the main sheet.</t>
  </si>
  <si>
    <t>Section / Topic</t>
  </si>
  <si>
    <t>Details</t>
  </si>
  <si>
    <t>Responsibility</t>
  </si>
  <si>
    <t>Target Date</t>
  </si>
  <si>
    <t>Attachments</t>
  </si>
  <si>
    <t>Risk / Assumption</t>
  </si>
  <si>
    <t>Iteration Info</t>
  </si>
  <si>
    <t>A. Client Delivery Projects</t>
  </si>
  <si>
    <t>Version</t>
  </si>
  <si>
    <t>A1. Single Source of Truth</t>
  </si>
  <si>
    <t>No single source of truth exists today. SAP B1 Project, Excel To-Do, and the Flutter app are all used inconsistently. Krishna wants something systematic, but keeps falling back to Excel - which has itself multiplied into several inconsistent sheets.</t>
  </si>
  <si>
    <t>Krishna Praveen Rao</t>
  </si>
  <si>
    <t>TBD</t>
  </si>
  <si>
    <t>Objective</t>
  </si>
  <si>
    <t>Prove a workable, steady single source of truth for tracking all Qltc projects - client delivery across all 6 verticals AND internal product/innovation initiatives - built on Odoo first, Krishna self-building with Claude as guide</t>
  </si>
  <si>
    <t>A2. SAP B1 Project &amp; Service Layer - Role Going Forward</t>
  </si>
  <si>
    <t>Projects/Sub-Projects and Service Calls/Activities are separate object types in SAP B1 but blur together operationally. SAP B1 is confirmed weak natively for project tracking. SAP B1 stays system of record for financials/service delivery; project tracking moves to a dedicated platform.</t>
  </si>
  <si>
    <t>Owner</t>
  </si>
  <si>
    <t>A3. Excel Dependency &amp; Retirement</t>
  </si>
  <si>
    <t>Primary driver of Excel fallback is speed - typing into a blank sheet beats navigating the app/SAP B1 in the moment. Excel is retired immediately (no parallel transition period) once the new self-update view is live, for whichever verticals/projects are onboarded.</t>
  </si>
  <si>
    <t>Start Date</t>
  </si>
  <si>
    <t>A4. Vertical &amp; Project Scope (All 6 Verticals)</t>
  </si>
  <si>
    <t>PARTIAL: confirmed the tracking unit is the project, not the vertical, and that 3 verticals (ERP Implementation, Management System Consulting, Operational Excellence) currently have active projects. NOT YET explored: current project load/activity in the other 3 verticals (Business Development, Project Management, Software Development &amp; Managed Services) - do they have active projects now, or are they dormant/pipeline-only? RESOLVED: Business Development and Project Management verticals are not dormant, but are currently more about marketing/selling Qltc's own services than delivering tracked client projects. Software Development &amp; Managed Services is concretely active: SAP Add-ons (client work), the internal IMS app (B1) and LMS-Moodle (B4) development, and AWS Managed Services for Qltc's own SAP B1 clients - notably, one AWS Managed Services client was recently lost because Qltc could not demonstrate enough added value. This loss is a real, concrete instance of the differentiation/USP problem already named in B5/B6 - worth keeping visible as it reinforces why the product strategy (apps as USP) matters, not just as an abstract argument. V0 SCOPE UPDATE: SAP Add-ons and AWS Managed Services client work are added to V0 pilot scope now, alongside ERP Implementation, Management System Consulting, and Operational Excellence - both live under the Software Development &amp; Managed Services vertical, so V0 effectively covers active client work across 4 verticals from day one, not 3.</t>
  </si>
  <si>
    <t>A5. Project Ownership Model</t>
  </si>
  <si>
    <t>Status is updated by a named project owner assigned to that specific project - not the vertical lead by default. Owner names to be assigned during rollout, not fixed in advance.</t>
  </si>
  <si>
    <t>Overall % Complete</t>
  </si>
  <si>
    <t>A6. Update Cadence &amp; Enforcement</t>
  </si>
  <si>
    <t>Target cadence is daily updates by project owners, enforced via a 3-day no-update nudge (email) as the backstop rather than a hard daily rule.</t>
  </si>
  <si>
    <t>A7. Client Communication / Status Sharing</t>
  </si>
  <si>
    <t>Today: occasional email with an Excel attachment - manual, infrequent, disconnected from the tracker. Confirmed out of scope to build for V0; named as a downstream success signal (quick, accurate customer updates pulled from live data).</t>
  </si>
  <si>
    <t>A8. Reporting &amp; At-Risk Definition</t>
  </si>
  <si>
    <t>Krishna's view should surface overdue/at-risk projects first. At-risk = past target date OR manually flagged by owner/Krishna.</t>
  </si>
  <si>
    <t>A9. Mobile / Desktop / Tablet Access</t>
  </si>
  <si>
    <t>Krishna checks status roughly 50/50 desktop vs mobile - solution must work well on both. Satisfied natively by the chosen platform's responsive web + mobile app. UPDATE: with Odoo Enterprise now confirmed (Topic C1), the official native mobile app with offline mode is available (not just the PWA), giving a stronger mobile experience than originally assumed when this topic first closed.</t>
  </si>
  <si>
    <t>A10. Security &amp; Access Control</t>
  </si>
  <si>
    <t>Roughly 20 people total, all with full visibility - no restricted views/roles needed at this scale.</t>
  </si>
  <si>
    <t>B. Product &amp; Innovation Initiatives</t>
  </si>
  <si>
    <t>B1. IMS Web App (ISO Documentation &amp; Audit)</t>
  </si>
  <si>
    <t>Named only so far: a web-based Integrated Management System app focused on ISO documentation and audit. NOT YET explored: current build stage, who's building it, target users (internal team vs sold to clients), timeline pressure, and how it relates to the market-driven USP idea (Topic B5). RESOLVED: team members are building it (not Krishna solo, unlike the tracker itself). Has taken decent shape, meaningful effort invested already - but Krishna is not satisfied on three fronts: features, user-friendliness, and speed of deployment to market. This mirrors the team bottleneck pattern (B7) - effort is going in, but not converting to market-ready output fast enough.</t>
  </si>
  <si>
    <t>B2. AI-Integrated CRM in Odoo (Starting with Quotation)</t>
  </si>
  <si>
    <t>Named only so far, building on the earlier Odoo-Claude Quote Tracker project. NOT YET explored: current build stage, what 'AI-integrated' means beyond quotation (full CRM scope?), timeline, and relationship to the Odoo-first tracker platform decision (Topic C1) - could this CRM work and the tracker share the same Odoo instance/learnings? RESOLVED: still in the AI-quotation stage (not yet broader CRM). Real milestone reached today (22 Aug 2026) - the first AI-generated quote was actually sent to a client through this system. A lot of work remains, but this is genuine, working progress - not just concept.</t>
  </si>
  <si>
    <t>B3. Enhanced HRMS in Odoo</t>
  </si>
  <si>
    <t>Named only so far. NOT YET explored: what 'enhanced' means (what's missing from stock Odoo HRMS), current build stage, and timeline. RESOLVED: "enhanced" is benchmarked explicitly against Savior (by STJ Electronics) - a named competitor HRMS product with a stronger feature/reporting set than stock Odoo HRMS. Current stage: getting close to feature/reporting parity with Savior. This gives a concrete target rather than an open-ended "enhance it" brief.</t>
  </si>
  <si>
    <t>B4. LMS via Moodle</t>
  </si>
  <si>
    <t>Named only so far. NOT YET explored: current build stage, target users (internal training vs a client-facing/market product), and timeline. Also worth clarifying - unlike the other 3 products, this is on Moodle, not Odoo; does that change its priority given the Odoo-first sequencing decision (Topic C1)? RESOLVED: LMS is client-facing today, currently supporting Qltc's other verticals (e.g. training delivery for consulting engagements) - self-hosted on marketplace Moodle freeware/plugins, not deeply customised. Attempts to market it as a standalone product have not worked so far. Krishna wants to go deeper and build substantially on the Moodle platform, having heard of strong results others have achieved with it - this is a genuine build-depth ambition, not just a maintenance item, and is worth its own closer look in Ideate given the stated market failure so far.</t>
  </si>
  <si>
    <t>B5. Opportunistic, Market-Driven Product Bets</t>
  </si>
  <si>
    <t>Example: a bottling-plant MNC's HIRA &amp; LOTO study request. Krishna's read: the real differentiator (USP) is a user-friendly mobile+desktop app supporting both the one-time study and ongoing sustenance - most competitors won't have this ready. DECISION: tracker logs such an opportunity only once it becomes a committed product bet (Category = Product-Innovation) - sales pipeline stays in Odoo CRM/AI-Quotation (B2).</t>
  </si>
  <si>
    <t>B6. Speed-to-Market &amp; Low-Cost Delivery Pressure</t>
  </si>
  <si>
    <t>Traditional order flow is drying up; response speed is now a commercial differentiator, not just capability. This context drives the whole buy-not-build platform pivot (Topic C1) and the push to get products to market quickly and cheaply.</t>
  </si>
  <si>
    <t>B7. Execution Capacity - Team Bottleneck</t>
  </si>
  <si>
    <t>Original pain: pushing the product agenda to the team is slow, due to skill gaps and competing client-delivery priority. RESOLVED for this initiative: Krishna self-builds V0 with Claude as guide and a few pulled-in resources in a support role - sidesteps the team priority conflict, shifts the constraint to Krishna's own hours.</t>
  </si>
  <si>
    <t>C. Platform &amp; Foundation Strategy</t>
  </si>
  <si>
    <t>C1. Platform Strategy - Odoo vs Zoho, Sequencing</t>
  </si>
  <si>
    <t>Researched Odoo Project, Zoho Projects, and Jira against requirements. Odoo has a real manufacturing-depth edge (mature MRP/Shop Floor/Quality/Maintenance) relevant to Qltc's manufacturing specialisation and SAP B1 migration; Zoho's ERP/manufacturing story is new (launched Jan 2026) with documented gaps. Zoho remains attractive for a future retail/service line and is separately viable as a Zoho Consulting Partner offering. DECISION: two-platform strategy long-term (Odoo for manufacturing practice + V0 tracker, Zoho deferred for retail/service), sequenced not parallel - Odoo first. EDITION DECISION: Odoo ENTERPRISE, not Community, chosen from the start. Rationale (debated explicitly): Studio (no-code customisation) directly offsets Krishna's own "little to no hands-on Odoo experience" (Topic C3), lowering build risk for a solo, time-constrained builder. More importantly, the manufacturing depth that justified Odoo over Zoho in the first place - Quality, Maintenance, PLM, Shop Floor - is Enterprise-only; Community's manufacturing is BOM/MO/routing/basic MRP only. Since the long-term goal includes building genuine, sellable Odoo manufacturing-implementation expertise (replacing the SAP B1/R3 practice), Enterprise access is needed for the team to get hands-on with the modules that make that credible to a manufacturing client. Also unlocks the official native mobile app with offline mode (Community/Enterprise both get the PWA; native app + offline is Enterprise-only) and official Odoo support/guaranteed upgrades - relevant risk-reduction for a first-time, solo config effort. Cost acknowledged: roughly 20 users x ~5-40/user/month (~,000-9,600/year) - accepted as worth paying for upfront rather than starting cheap and hitting a wall.</t>
  </si>
  <si>
    <t>Krishna Praveen Rao / Claude</t>
  </si>
  <si>
    <t>C2. Scalable, Extensible Foundation Principle</t>
  </si>
  <si>
    <t>Standing design principle: every structural choice should extend cleanly to a new vertical, product, or category without a rebuild. Concrete config: open Vertical field (all 6 available, populated incrementally), Category field (Client Delivery / Product-Innovation), Status + Notes fields - all native custom fields on the chosen platform, no schema engineering needed.</t>
  </si>
  <si>
    <t>C3. Build Ownership &amp; Time Budget</t>
  </si>
  <si>
    <t>Krishna will self-build V0 on Odoo, with Claude as guide and a few pulled-in support resources, starting from little/no hands-on Odoo config experience (offset by deep SAP/business-process background). NOT YET defined: how many hours/week Krishna can realistically commit, what a reasonable target date for a working V0 looks like given that, and exactly what the pulled-in support resources will be asked to do. RESOLVED: realistic commitment is 5-10 hrs/week on top of regular work, despite the "burn the midnight oil" intent - worth pacing the plan against this honest number rather than the more aspirational framing. At 5-10 hrs/week, a working Odoo V0 (4 pilot verticals + Status/Notes/Vertical/Category custom fields + at-risk view + 3-day email nudge) is a multi-week effort, not a multi-day one - target date to be set once Ideate defines the exact configuration steps, so the estimate is grounded rather than guessed.</t>
  </si>
  <si>
    <t>How to use this tracker (V2)</t>
  </si>
  <si>
    <t>This is a restructured V2 of the tracker, rebuilt after the scope expanded significantly during Empathise.</t>
  </si>
  <si>
    <t>Topics are grouped into 3 sections: A) Client Delivery Projects, B) Product &amp; Innovation Initiatives, C) Platform &amp; Foundation Strategy.</t>
  </si>
  <si>
    <t>Most Empathise topics already carry a Closed status with the answer already confirmed earlier in this process - these are not being re-asked.</t>
  </si>
  <si>
    <t>A handful of topics are marked Open in Empathise - these are genuine gaps (the 4 products individually, the other 3 verticals, and the build time budget) that need fresh questions before Empathise can close for V2.</t>
  </si>
  <si>
    <t>The plan: finish these Open Empathise items first, then move through Define/Ideate/Prototype/Testing for V2, same rhythm as before - but Krishna wants this pace to be deliberate through Empathise/Define/Ideate, and only fast from Prototype onward.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</si>
</sst>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sz val="11"/>
      <name val="Calibri"/>
      <family val="2"/>
    </font>
    <font>
      <i/>
      <sz val="12"/>
      <color rgb="FFD9E2F3"/>
      <name val="Calibri"/>
      <family val="2"/>
    </font>
    <font>
      <b/>
      <sz val="10"/>
      <color rgb="FFFFFFFF"/>
      <name val="Calibri"/>
      <family val="2"/>
    </font>
    <font>
      <b/>
      <sz val="22"/>
      <color rgb="FF2E75B6"/>
      <name val="Calibri"/>
      <family val="2"/>
    </font>
    <font>
      <b/>
      <sz val="22"/>
      <color rgb="FFBF8F00"/>
      <name val="Calibri"/>
      <family val="2"/>
    </font>
    <font>
      <b/>
      <sz val="22"/>
      <color rgb="FFC55A11"/>
      <name val="Calibri"/>
      <family val="2"/>
    </font>
    <font>
      <b/>
      <sz val="22"/>
      <color rgb="FF7030A0"/>
      <name val="Calibri"/>
      <family val="2"/>
    </font>
    <font>
      <b/>
      <sz val="13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2E75B6"/>
      <name val="Calibri"/>
      <family val="2"/>
    </font>
    <font>
      <b/>
      <sz val="11"/>
      <color rgb="FF548235"/>
      <name val="Calibri"/>
      <family val="2"/>
    </font>
    <font>
      <b/>
      <sz val="11"/>
      <color rgb="FFBF8F00"/>
      <name val="Calibri"/>
      <family val="2"/>
    </font>
    <font>
      <b/>
      <sz val="11"/>
      <color rgb="FFC55A11"/>
      <name val="Calibri"/>
      <family val="2"/>
    </font>
    <font>
      <b/>
      <sz val="11"/>
      <color rgb="FF7030A0"/>
      <name val="Calibri"/>
      <family val="2"/>
    </font>
    <font>
      <sz val="9"/>
      <color rgb="FF808080"/>
      <name val="Calibri"/>
      <family val="2"/>
    </font>
    <font>
      <b/>
      <sz val="12"/>
      <color rgb="FF1F3864"/>
      <name val="Calibri"/>
      <family val="2"/>
    </font>
    <font>
      <sz val="10"/>
      <color rgb="FF404040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DDEBF7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E2F3"/>
      </patternFill>
    </fill>
    <fill>
      <patternFill patternType="solid">
        <fgColor rgb="FF404040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E4DFEC"/>
      </patternFill>
    </fill>
    <fill>
      <patternFill patternType="solid">
        <fgColor rgb="FFE2EFDA"/>
        <bgColor rgb="FFDDEBF7"/>
      </patternFill>
    </fill>
    <fill>
      <patternFill patternType="solid">
        <fgColor rgb="FFBFBFBF"/>
        <bgColor rgb="FFB3B3B3"/>
      </patternFill>
    </fill>
  </fills>
  <borders count="8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8" fillId="0" borderId="0" xfId="0" applyFont="1" applyAlignment="1">
      <alignment horizontal="left" vertical="center" wrapText="1"/>
    </xf>
    <xf numFmtId="0" fontId="17" fillId="0" borderId="0" xfId="0" applyFont="1"/>
    <xf numFmtId="0" fontId="9" fillId="0" borderId="0" xfId="0" applyFont="1" applyAlignment="1">
      <alignment horizontal="left" vertical="center" indent="1"/>
    </xf>
    <xf numFmtId="0" fontId="8" fillId="10" borderId="4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9" fontId="6" fillId="8" borderId="2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10" fillId="11" borderId="5" xfId="0" applyFont="1" applyFill="1" applyBorder="1" applyAlignment="1">
      <alignment horizontal="left" vertical="center" indent="1"/>
    </xf>
    <xf numFmtId="0" fontId="10" fillId="11" borderId="5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horizontal="left" vertical="center" indent="1"/>
    </xf>
    <xf numFmtId="0" fontId="2" fillId="12" borderId="6" xfId="0" applyFont="1" applyFill="1" applyBorder="1" applyAlignment="1">
      <alignment horizontal="center" vertical="center"/>
    </xf>
    <xf numFmtId="9" fontId="2" fillId="12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0" fontId="14" fillId="12" borderId="6" xfId="0" applyFont="1" applyFill="1" applyBorder="1" applyAlignment="1">
      <alignment horizontal="left" vertical="center" indent="1"/>
    </xf>
    <xf numFmtId="0" fontId="15" fillId="0" borderId="6" xfId="0" applyFont="1" applyBorder="1" applyAlignment="1">
      <alignment horizontal="left" vertical="center" indent="1"/>
    </xf>
    <xf numFmtId="0" fontId="16" fillId="0" borderId="0" xfId="0" applyFont="1"/>
    <xf numFmtId="0" fontId="19" fillId="13" borderId="7" xfId="0" applyFont="1" applyFill="1" applyBorder="1"/>
    <xf numFmtId="0" fontId="19" fillId="7" borderId="7" xfId="0" applyFont="1" applyFill="1" applyBorder="1"/>
    <xf numFmtId="0" fontId="19" fillId="14" borderId="7" xfId="0" applyFont="1" applyFill="1" applyBorder="1"/>
    <xf numFmtId="0" fontId="19" fillId="8" borderId="7" xfId="0" applyFont="1" applyFill="1" applyBorder="1"/>
    <xf numFmtId="0" fontId="19" fillId="9" borderId="7" xfId="0" applyFont="1" applyFill="1" applyBorder="1"/>
    <xf numFmtId="0" fontId="19" fillId="10" borderId="7" xfId="0" applyFont="1" applyFill="1" applyBorder="1"/>
    <xf numFmtId="0" fontId="19" fillId="0" borderId="0" xfId="0" applyFont="1"/>
    <xf numFmtId="0" fontId="20" fillId="15" borderId="0" xfId="0" applyFont="1" applyFill="1"/>
    <xf numFmtId="0" fontId="0" fillId="15" borderId="0" xfId="0" applyFill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64" fontId="0" fillId="0" borderId="0" xfId="0" applyNumberFormat="1"/>
    <xf numFmtId="0" fontId="2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D9E2F3"/>
      <rgbColor rgb="FFF2F2F2"/>
      <rgbColor rgb="FFE4DFEC"/>
      <rgbColor rgb="FFFFC7CE"/>
      <rgbColor rgb="FF2E75B6"/>
      <rgbColor rgb="FF33CCCC"/>
      <rgbColor rgb="FF99CC00"/>
      <rgbColor rgb="FFFFCC00"/>
      <rgbColor rgb="FFBF8F00"/>
      <rgbColor rgb="FFC55A1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Overall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75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271-5343-9757-83D32573C740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271-5343-9757-83D32573C74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271-5343-9757-83D32573C74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271-5343-9757-83D32573C7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Dashboard!$A$22:$A$23</c:f>
              <c:strCache>
                <c:ptCount val="2"/>
                <c:pt idx="0">
                  <c:v>Closed (all phases)</c:v>
                </c:pt>
                <c:pt idx="1">
                  <c:v>Open (all phases)</c:v>
                </c:pt>
              </c:strCache>
            </c:strRef>
          </c:cat>
          <c:val>
            <c:numRef>
              <c:f>Dashboard!$B$22:$B$23</c:f>
              <c:numCache>
                <c:formatCode>General</c:formatCode>
                <c:ptCount val="2"/>
                <c:pt idx="0">
                  <c:v>20</c:v>
                </c:pt>
                <c:pt idx="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1-5343-9757-83D32573C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% Complete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Dashboard!$E$10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Empathise</c:v>
                </c:pt>
                <c:pt idx="1">
                  <c:v>Define</c:v>
                </c:pt>
                <c:pt idx="2">
                  <c:v>Ideate</c:v>
                </c:pt>
                <c:pt idx="3">
                  <c:v>Prototype</c:v>
                </c:pt>
                <c:pt idx="4">
                  <c:v>Testing</c:v>
                </c:pt>
              </c:strCache>
            </c:strRef>
          </c:cat>
          <c:val>
            <c:numRef>
              <c:f>Dashboard!$E$11:$E$15</c:f>
              <c:numCache>
                <c:formatCode>0%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9-5E4C-BAFF-4D338E410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4323"/>
        <c:axId val="4702728"/>
      </c:barChart>
      <c:catAx>
        <c:axId val="17343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2728"/>
        <c:crosses val="autoZero"/>
        <c:auto val="1"/>
        <c:lblAlgn val="ctr"/>
        <c:lblOffset val="100"/>
        <c:noMultiLvlLbl val="0"/>
      </c:catAx>
      <c:valAx>
        <c:axId val="47027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343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3</xdr:col>
      <xdr:colOff>497160</xdr:colOff>
      <xdr:row>37</xdr:row>
      <xdr:rowOff>42120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14</xdr:col>
      <xdr:colOff>289440</xdr:colOff>
      <xdr:row>37</xdr:row>
      <xdr:rowOff>42120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showGridLines="0" tabSelected="1" topLeftCell="A8" zoomScaleNormal="100" workbookViewId="0">
      <selection sqref="A1:I1"/>
    </sheetView>
  </sheetViews>
  <sheetFormatPr baseColWidth="10" defaultColWidth="8.6640625" defaultRowHeight="15" x14ac:dyDescent="0.2"/>
  <cols>
    <col min="1" max="1" width="18" customWidth="1"/>
    <col min="2" max="4" width="13" customWidth="1"/>
    <col min="5" max="5" width="14" customWidth="1"/>
    <col min="6" max="9" width="6" customWidth="1"/>
  </cols>
  <sheetData>
    <row r="1" spans="1:10" ht="33.7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21.7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4"/>
    </row>
    <row r="3" spans="1:10" ht="15" customHeight="1" x14ac:dyDescent="0.2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9.5" customHeight="1" x14ac:dyDescent="0.2">
      <c r="A4" s="11" t="s">
        <v>2</v>
      </c>
      <c r="B4" s="11"/>
      <c r="C4" s="10" t="s">
        <v>3</v>
      </c>
      <c r="D4" s="10"/>
      <c r="E4" s="9" t="s">
        <v>4</v>
      </c>
      <c r="F4" s="9"/>
      <c r="G4" s="8" t="s">
        <v>5</v>
      </c>
      <c r="H4" s="8"/>
      <c r="I4" s="14"/>
      <c r="J4" s="14"/>
    </row>
    <row r="5" spans="1:10" ht="30" customHeight="1" x14ac:dyDescent="0.2">
      <c r="A5" s="7">
        <f>'Project Tracking System V2'!AH2</f>
        <v>2</v>
      </c>
      <c r="B5" s="7"/>
      <c r="C5" s="6">
        <f>'Project Tracking System V2'!AH7</f>
        <v>0.17391304347826086</v>
      </c>
      <c r="D5" s="6"/>
      <c r="E5" s="5" t="str">
        <f>INDEX($A$11:$A$15,MATCH(MIN($E$11:$E$15),$E$11:$E$15,0))</f>
        <v>Define</v>
      </c>
      <c r="F5" s="5"/>
      <c r="G5" s="4">
        <f>COUNTIF('Project Tracking System V2'!$B$2:$B$200,"Closed")+COUNTIF('Project Tracking System V2'!$B$2:$B$200,"Open")</f>
        <v>20</v>
      </c>
      <c r="H5" s="4"/>
      <c r="I5" s="14"/>
      <c r="J5" s="14"/>
    </row>
    <row r="6" spans="1:10" ht="6" customHeight="1" x14ac:dyDescent="0.2">
      <c r="A6" s="7"/>
      <c r="B6" s="7"/>
      <c r="C6" s="6"/>
      <c r="D6" s="6"/>
      <c r="E6" s="5"/>
      <c r="F6" s="5"/>
      <c r="G6" s="4"/>
      <c r="H6" s="4"/>
      <c r="I6" s="14"/>
      <c r="J6" s="14"/>
    </row>
    <row r="7" spans="1:10" ht="6" customHeight="1" x14ac:dyDescent="0.2">
      <c r="A7" s="7"/>
      <c r="B7" s="7"/>
      <c r="C7" s="6"/>
      <c r="D7" s="6"/>
      <c r="E7" s="5"/>
      <c r="F7" s="5"/>
      <c r="G7" s="4"/>
      <c r="H7" s="4"/>
      <c r="I7" s="14"/>
      <c r="J7" s="14"/>
    </row>
    <row r="8" spans="1:10" ht="15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ht="24" customHeight="1" x14ac:dyDescent="0.2">
      <c r="A9" s="3" t="s">
        <v>6</v>
      </c>
      <c r="B9" s="3"/>
      <c r="C9" s="3"/>
      <c r="D9" s="3"/>
      <c r="E9" s="3"/>
      <c r="F9" s="3"/>
      <c r="G9" s="3"/>
      <c r="H9" s="3"/>
      <c r="I9" s="3"/>
      <c r="J9" s="14"/>
    </row>
    <row r="10" spans="1:10" ht="15" customHeight="1" x14ac:dyDescent="0.2">
      <c r="A10" s="15" t="s">
        <v>7</v>
      </c>
      <c r="B10" s="16" t="s">
        <v>8</v>
      </c>
      <c r="C10" s="16" t="s">
        <v>9</v>
      </c>
      <c r="D10" s="16" t="s">
        <v>10</v>
      </c>
      <c r="E10" s="16" t="s">
        <v>11</v>
      </c>
      <c r="F10" s="14"/>
      <c r="G10" s="14"/>
      <c r="H10" s="14"/>
      <c r="I10" s="14"/>
      <c r="J10" s="14"/>
    </row>
    <row r="11" spans="1:10" ht="19.5" customHeight="1" x14ac:dyDescent="0.2">
      <c r="A11" s="17" t="s">
        <v>12</v>
      </c>
      <c r="B11" s="18">
        <f>COUNTIF('Project Tracking System V2'!B2:B200,"Closed")</f>
        <v>20</v>
      </c>
      <c r="C11" s="18">
        <f>COUNTIF('Project Tracking System V2'!B2:B200,"Open")</f>
        <v>0</v>
      </c>
      <c r="D11" s="18">
        <f>B11+C11</f>
        <v>20</v>
      </c>
      <c r="E11" s="19">
        <f>IF(D11=0,0,B11/D11)</f>
        <v>1</v>
      </c>
      <c r="F11" s="14"/>
      <c r="G11" s="14"/>
      <c r="H11" s="14"/>
      <c r="I11" s="14"/>
      <c r="J11" s="14"/>
    </row>
    <row r="12" spans="1:10" ht="19.5" customHeight="1" x14ac:dyDescent="0.2">
      <c r="A12" s="20" t="s">
        <v>13</v>
      </c>
      <c r="B12" s="21">
        <f>COUNTIF('Project Tracking System V2'!H2:H200,"Closed")</f>
        <v>0</v>
      </c>
      <c r="C12" s="21">
        <f>COUNTIF('Project Tracking System V2'!H2:H200,"Open")</f>
        <v>20</v>
      </c>
      <c r="D12" s="21">
        <f>B12+C12</f>
        <v>20</v>
      </c>
      <c r="E12" s="22">
        <f>IF(D12=0,0,B12/D12)</f>
        <v>0</v>
      </c>
      <c r="F12" s="14"/>
      <c r="G12" s="14"/>
      <c r="H12" s="14"/>
      <c r="I12" s="14"/>
      <c r="J12" s="14"/>
    </row>
    <row r="13" spans="1:10" ht="19.5" customHeight="1" x14ac:dyDescent="0.2">
      <c r="A13" s="23" t="s">
        <v>14</v>
      </c>
      <c r="B13" s="18">
        <f>COUNTIF('Project Tracking System V2'!N2:N200,"Closed")</f>
        <v>0</v>
      </c>
      <c r="C13" s="18">
        <f>COUNTIF('Project Tracking System V2'!N2:N200,"Open")</f>
        <v>20</v>
      </c>
      <c r="D13" s="18">
        <f>B13+C13</f>
        <v>20</v>
      </c>
      <c r="E13" s="19">
        <f>IF(D13=0,0,B13/D13)</f>
        <v>0</v>
      </c>
      <c r="F13" s="14"/>
      <c r="G13" s="14"/>
      <c r="H13" s="14"/>
      <c r="I13" s="14"/>
      <c r="J13" s="14"/>
    </row>
    <row r="14" spans="1:10" ht="19.5" customHeight="1" x14ac:dyDescent="0.2">
      <c r="A14" s="24" t="s">
        <v>15</v>
      </c>
      <c r="B14" s="21">
        <f>COUNTIF('Project Tracking System V2'!U2:U200,"Closed")</f>
        <v>0</v>
      </c>
      <c r="C14" s="21">
        <f>COUNTIF('Project Tracking System V2'!U2:U200,"Open")</f>
        <v>20</v>
      </c>
      <c r="D14" s="21">
        <f>B14+C14</f>
        <v>20</v>
      </c>
      <c r="E14" s="22">
        <f>IF(D14=0,0,B14/D14)</f>
        <v>0</v>
      </c>
      <c r="F14" s="14"/>
      <c r="G14" s="14"/>
      <c r="H14" s="14"/>
      <c r="I14" s="14"/>
      <c r="J14" s="14"/>
    </row>
    <row r="15" spans="1:10" ht="19.5" customHeight="1" x14ac:dyDescent="0.2">
      <c r="A15" s="25" t="s">
        <v>16</v>
      </c>
      <c r="B15" s="18">
        <f>COUNTIF('Project Tracking System V2'!AA2:AA200,"Closed")</f>
        <v>0</v>
      </c>
      <c r="C15" s="18">
        <f>COUNTIF('Project Tracking System V2'!AA2:AA200,"Open")</f>
        <v>20</v>
      </c>
      <c r="D15" s="18">
        <f>B15+C15</f>
        <v>20</v>
      </c>
      <c r="E15" s="19">
        <f>IF(D15=0,0,B15/D15)</f>
        <v>0</v>
      </c>
      <c r="F15" s="14"/>
      <c r="G15" s="14"/>
      <c r="H15" s="14"/>
      <c r="I15" s="14"/>
      <c r="J15" s="14"/>
    </row>
    <row r="16" spans="1:10" ht="15" customHeight="1" x14ac:dyDescent="0.2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15" customHeight="1" x14ac:dyDescent="0.2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15" customHeight="1" x14ac:dyDescent="0.2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15" customHeight="1" x14ac:dyDescent="0.2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1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1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" customHeight="1" x14ac:dyDescent="0.2">
      <c r="A22" s="26" t="s">
        <v>17</v>
      </c>
      <c r="B22" s="26">
        <f>SUM(B11:B15)</f>
        <v>20</v>
      </c>
      <c r="C22" s="14"/>
      <c r="D22" s="14"/>
      <c r="E22" s="14"/>
      <c r="F22" s="14"/>
      <c r="G22" s="14"/>
      <c r="H22" s="14"/>
      <c r="I22" s="14"/>
      <c r="J22" s="14"/>
    </row>
    <row r="23" spans="1:10" ht="15" customHeight="1" x14ac:dyDescent="0.2">
      <c r="A23" s="26" t="s">
        <v>18</v>
      </c>
      <c r="B23" s="26">
        <f>SUM(C11:C15)</f>
        <v>80</v>
      </c>
      <c r="C23" s="14"/>
      <c r="D23" s="14"/>
      <c r="E23" s="14"/>
      <c r="F23" s="14"/>
      <c r="G23" s="14"/>
      <c r="H23" s="14"/>
      <c r="I23" s="14"/>
      <c r="J23" s="14"/>
    </row>
    <row r="24" spans="1:10" ht="15" customHeight="1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5" customHeight="1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1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spans="1:10" ht="1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 ht="1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 ht="1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 ht="1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 ht="1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 ht="1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 ht="1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 ht="1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2" spans="1:10" ht="15" customHeight="1" x14ac:dyDescent="0.2">
      <c r="A42" s="2" t="s">
        <v>19</v>
      </c>
      <c r="B42" s="2"/>
      <c r="C42" s="2"/>
      <c r="D42" s="2"/>
      <c r="E42" s="2"/>
      <c r="F42" s="2"/>
      <c r="G42" s="2"/>
      <c r="H42" s="2"/>
      <c r="I42" s="2"/>
    </row>
    <row r="43" spans="1:10" ht="15.75" customHeight="1" x14ac:dyDescent="0.2">
      <c r="A43" s="1" t="s">
        <v>20</v>
      </c>
      <c r="B43" s="1"/>
      <c r="C43" s="1"/>
      <c r="D43" s="1"/>
      <c r="E43" s="1"/>
      <c r="F43" s="1"/>
      <c r="G43" s="1"/>
      <c r="H43" s="1"/>
      <c r="I43" s="1"/>
    </row>
    <row r="44" spans="1:10" ht="15.75" customHeight="1" x14ac:dyDescent="0.2">
      <c r="A44" s="1" t="s">
        <v>21</v>
      </c>
      <c r="B44" s="1"/>
      <c r="C44" s="1"/>
      <c r="D44" s="1"/>
      <c r="E44" s="1"/>
      <c r="F44" s="1"/>
      <c r="G44" s="1"/>
      <c r="H44" s="1"/>
      <c r="I44" s="1"/>
    </row>
    <row r="45" spans="1:10" ht="15.75" customHeight="1" x14ac:dyDescent="0.2">
      <c r="A45" s="1" t="s">
        <v>22</v>
      </c>
      <c r="B45" s="1"/>
      <c r="C45" s="1"/>
      <c r="D45" s="1"/>
      <c r="E45" s="1"/>
      <c r="F45" s="1"/>
      <c r="G45" s="1"/>
      <c r="H45" s="1"/>
      <c r="I45" s="1"/>
    </row>
  </sheetData>
  <mergeCells count="15">
    <mergeCell ref="A42:I42"/>
    <mergeCell ref="A43:I43"/>
    <mergeCell ref="A44:I44"/>
    <mergeCell ref="A45:I45"/>
    <mergeCell ref="A5:B7"/>
    <mergeCell ref="C5:D7"/>
    <mergeCell ref="E5:F7"/>
    <mergeCell ref="G5:H7"/>
    <mergeCell ref="A9:I9"/>
    <mergeCell ref="A1:I1"/>
    <mergeCell ref="A2:I2"/>
    <mergeCell ref="A4:B4"/>
    <mergeCell ref="C4:D4"/>
    <mergeCell ref="E4:F4"/>
    <mergeCell ref="G4:H4"/>
  </mergeCells>
  <conditionalFormatting sqref="E11:E15">
    <cfRule type="dataBar" priority="2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{AD41201E-C31B-41E7-849A-30D01F277E2C}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41201E-C31B-41E7-849A-30D01F277E2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75B6"/>
            </x14:dataBar>
          </x14:cfRule>
          <xm:sqref>E11:E15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50" customWidth="1"/>
    <col min="2" max="2" width="30" customWidth="1"/>
    <col min="3" max="3" width="46" customWidth="1"/>
    <col min="4" max="6" width="16" customWidth="1"/>
    <col min="8" max="8" width="30" customWidth="1"/>
    <col min="9" max="9" width="46" customWidth="1"/>
    <col min="10" max="12" width="16" customWidth="1"/>
    <col min="14" max="14" width="30" customWidth="1"/>
    <col min="15" max="16" width="46" customWidth="1"/>
    <col min="17" max="19" width="16" customWidth="1"/>
    <col min="21" max="21" width="30" customWidth="1"/>
    <col min="22" max="22" width="46" customWidth="1"/>
    <col min="23" max="25" width="16" customWidth="1"/>
    <col min="27" max="27" width="30" customWidth="1"/>
    <col min="28" max="28" width="46" customWidth="1"/>
    <col min="29" max="31" width="16" customWidth="1"/>
  </cols>
  <sheetData>
    <row r="1" spans="1:34" ht="15" customHeight="1" x14ac:dyDescent="0.2">
      <c r="A1" s="27" t="s">
        <v>23</v>
      </c>
      <c r="B1" s="28" t="str">
        <f>"Empathise Version (V"&amp;$AH$2&amp;" - Open/Closed)"</f>
        <v>Empathise Version (V2 - Open/Closed)</v>
      </c>
      <c r="C1" s="28" t="s">
        <v>24</v>
      </c>
      <c r="D1" s="28" t="s">
        <v>25</v>
      </c>
      <c r="E1" s="28" t="s">
        <v>26</v>
      </c>
      <c r="F1" s="28" t="s">
        <v>27</v>
      </c>
      <c r="H1" s="29" t="str">
        <f>"Define Version (V"&amp;$AH$2&amp;" - Open/Closed)"</f>
        <v>Define Version (V2 - Open/Closed)</v>
      </c>
      <c r="I1" s="29" t="s">
        <v>24</v>
      </c>
      <c r="J1" s="29" t="s">
        <v>25</v>
      </c>
      <c r="K1" s="29" t="s">
        <v>26</v>
      </c>
      <c r="L1" s="29" t="s">
        <v>27</v>
      </c>
      <c r="N1" s="30" t="str">
        <f>"Ideate Version (V"&amp;$AH$2&amp;" - Open/Closed)"</f>
        <v>Ideate Version (V2 - Open/Closed)</v>
      </c>
      <c r="O1" s="30" t="s">
        <v>24</v>
      </c>
      <c r="P1" s="30" t="s">
        <v>28</v>
      </c>
      <c r="Q1" s="30" t="s">
        <v>25</v>
      </c>
      <c r="R1" s="30" t="s">
        <v>26</v>
      </c>
      <c r="S1" s="30" t="s">
        <v>27</v>
      </c>
      <c r="U1" s="31" t="str">
        <f>"Prototype Version (V"&amp;$AH$2&amp;" - Open/Closed)"</f>
        <v>Prototype Version (V2 - Open/Closed)</v>
      </c>
      <c r="V1" s="31" t="s">
        <v>24</v>
      </c>
      <c r="W1" s="31" t="s">
        <v>25</v>
      </c>
      <c r="X1" s="31" t="s">
        <v>26</v>
      </c>
      <c r="Y1" s="31" t="s">
        <v>27</v>
      </c>
      <c r="AA1" s="32" t="str">
        <f>"Testing Version (V"&amp;$AH$2&amp;" - Open/Closed)"</f>
        <v>Testing Version (V2 - Open/Closed)</v>
      </c>
      <c r="AB1" s="32" t="s">
        <v>24</v>
      </c>
      <c r="AC1" s="32" t="s">
        <v>25</v>
      </c>
      <c r="AD1" s="32" t="s">
        <v>26</v>
      </c>
      <c r="AE1" s="32" t="s">
        <v>27</v>
      </c>
      <c r="AG1" s="33" t="s">
        <v>29</v>
      </c>
    </row>
    <row r="2" spans="1:34" ht="15" customHeight="1" x14ac:dyDescent="0.2">
      <c r="A2" s="34" t="s">
        <v>30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14" t="s">
        <v>31</v>
      </c>
      <c r="AH2" s="14">
        <v>2</v>
      </c>
    </row>
    <row r="3" spans="1:34" ht="15" customHeight="1" x14ac:dyDescent="0.2">
      <c r="A3" s="36" t="s">
        <v>32</v>
      </c>
      <c r="B3" s="14" t="s">
        <v>8</v>
      </c>
      <c r="C3" s="14" t="s">
        <v>33</v>
      </c>
      <c r="D3" s="14" t="s">
        <v>34</v>
      </c>
      <c r="E3" s="37">
        <v>46256</v>
      </c>
      <c r="H3" s="14" t="s">
        <v>9</v>
      </c>
      <c r="I3" s="14" t="s">
        <v>35</v>
      </c>
      <c r="N3" s="14" t="s">
        <v>9</v>
      </c>
      <c r="O3" s="14" t="s">
        <v>35</v>
      </c>
      <c r="U3" s="14" t="s">
        <v>9</v>
      </c>
      <c r="V3" s="14" t="s">
        <v>35</v>
      </c>
      <c r="AA3" s="14" t="s">
        <v>9</v>
      </c>
      <c r="AB3" s="14" t="s">
        <v>35</v>
      </c>
      <c r="AG3" s="14" t="s">
        <v>36</v>
      </c>
      <c r="AH3" s="14" t="s">
        <v>37</v>
      </c>
    </row>
    <row r="4" spans="1:34" ht="15" customHeight="1" x14ac:dyDescent="0.2">
      <c r="A4" s="36" t="s">
        <v>38</v>
      </c>
      <c r="B4" s="14" t="s">
        <v>8</v>
      </c>
      <c r="C4" s="14" t="s">
        <v>39</v>
      </c>
      <c r="D4" s="14" t="s">
        <v>34</v>
      </c>
      <c r="E4" s="37">
        <v>46256</v>
      </c>
      <c r="H4" s="14" t="s">
        <v>9</v>
      </c>
      <c r="I4" s="14" t="s">
        <v>35</v>
      </c>
      <c r="N4" s="14" t="s">
        <v>9</v>
      </c>
      <c r="O4" s="14" t="s">
        <v>35</v>
      </c>
      <c r="U4" s="14" t="s">
        <v>9</v>
      </c>
      <c r="V4" s="14" t="s">
        <v>35</v>
      </c>
      <c r="AA4" s="14" t="s">
        <v>9</v>
      </c>
      <c r="AB4" s="14" t="s">
        <v>35</v>
      </c>
      <c r="AG4" s="14" t="s">
        <v>40</v>
      </c>
      <c r="AH4" s="14" t="s">
        <v>34</v>
      </c>
    </row>
    <row r="5" spans="1:34" ht="15" customHeight="1" x14ac:dyDescent="0.2">
      <c r="A5" s="36" t="s">
        <v>41</v>
      </c>
      <c r="B5" s="14" t="s">
        <v>8</v>
      </c>
      <c r="C5" s="14" t="s">
        <v>42</v>
      </c>
      <c r="D5" s="14" t="s">
        <v>34</v>
      </c>
      <c r="E5" s="37">
        <v>46256</v>
      </c>
      <c r="H5" s="14" t="s">
        <v>9</v>
      </c>
      <c r="I5" s="14" t="s">
        <v>35</v>
      </c>
      <c r="N5" s="14" t="s">
        <v>9</v>
      </c>
      <c r="O5" s="14" t="s">
        <v>35</v>
      </c>
      <c r="U5" s="14" t="s">
        <v>9</v>
      </c>
      <c r="V5" s="14" t="s">
        <v>35</v>
      </c>
      <c r="AA5" s="14" t="s">
        <v>9</v>
      </c>
      <c r="AB5" s="14" t="s">
        <v>35</v>
      </c>
      <c r="AG5" s="14" t="s">
        <v>43</v>
      </c>
      <c r="AH5" s="37">
        <v>46256</v>
      </c>
    </row>
    <row r="6" spans="1:34" ht="15" customHeight="1" x14ac:dyDescent="0.2">
      <c r="A6" s="36" t="s">
        <v>44</v>
      </c>
      <c r="B6" s="14" t="s">
        <v>8</v>
      </c>
      <c r="C6" s="14" t="s">
        <v>45</v>
      </c>
      <c r="D6" t="s">
        <v>34</v>
      </c>
      <c r="E6" s="38">
        <v>46256</v>
      </c>
      <c r="H6" s="14" t="s">
        <v>9</v>
      </c>
      <c r="I6" s="14" t="s">
        <v>35</v>
      </c>
      <c r="N6" s="14" t="s">
        <v>9</v>
      </c>
      <c r="O6" s="14" t="s">
        <v>35</v>
      </c>
      <c r="U6" s="14" t="s">
        <v>9</v>
      </c>
      <c r="V6" s="14" t="s">
        <v>35</v>
      </c>
      <c r="AA6" s="14" t="s">
        <v>9</v>
      </c>
      <c r="AB6" s="14" t="s">
        <v>35</v>
      </c>
      <c r="AG6" s="14" t="s">
        <v>26</v>
      </c>
      <c r="AH6" s="14"/>
    </row>
    <row r="7" spans="1:34" ht="15" customHeight="1" x14ac:dyDescent="0.2">
      <c r="A7" s="36" t="s">
        <v>46</v>
      </c>
      <c r="B7" s="14" t="s">
        <v>8</v>
      </c>
      <c r="C7" s="14" t="s">
        <v>47</v>
      </c>
      <c r="D7" s="14" t="s">
        <v>34</v>
      </c>
      <c r="E7" s="37">
        <v>46256</v>
      </c>
      <c r="H7" s="14" t="s">
        <v>9</v>
      </c>
      <c r="I7" s="14" t="s">
        <v>35</v>
      </c>
      <c r="N7" s="14" t="s">
        <v>9</v>
      </c>
      <c r="O7" s="14" t="s">
        <v>35</v>
      </c>
      <c r="U7" s="14" t="s">
        <v>9</v>
      </c>
      <c r="V7" s="14" t="s">
        <v>35</v>
      </c>
      <c r="AA7" s="14" t="s">
        <v>9</v>
      </c>
      <c r="AB7" s="14" t="s">
        <v>35</v>
      </c>
      <c r="AG7" s="14" t="s">
        <v>48</v>
      </c>
      <c r="AH7" s="14">
        <f>(COUNTIF(B2:B24,"Closed")+COUNTIF(H2:H24,"Closed")+COUNTIF(N2:N24,"Closed")+COUNTIF(U2:U24,"Closed")+COUNTIF(AA2:AA24,"Closed"))/(5*COUNTA($A$2:$A$24))</f>
        <v>0.17391304347826086</v>
      </c>
    </row>
    <row r="8" spans="1:34" ht="15" customHeight="1" x14ac:dyDescent="0.2">
      <c r="A8" s="36" t="s">
        <v>49</v>
      </c>
      <c r="B8" s="14" t="s">
        <v>8</v>
      </c>
      <c r="C8" s="14" t="s">
        <v>50</v>
      </c>
      <c r="D8" s="14" t="s">
        <v>34</v>
      </c>
      <c r="E8" s="37">
        <v>46256</v>
      </c>
      <c r="H8" s="14" t="s">
        <v>9</v>
      </c>
      <c r="I8" s="14" t="s">
        <v>35</v>
      </c>
      <c r="N8" s="14" t="s">
        <v>9</v>
      </c>
      <c r="O8" s="14" t="s">
        <v>35</v>
      </c>
      <c r="U8" s="14" t="s">
        <v>9</v>
      </c>
      <c r="V8" s="14" t="s">
        <v>35</v>
      </c>
      <c r="AA8" s="14" t="s">
        <v>9</v>
      </c>
      <c r="AB8" s="14" t="s">
        <v>35</v>
      </c>
    </row>
    <row r="9" spans="1:34" ht="15" customHeight="1" x14ac:dyDescent="0.2">
      <c r="A9" s="36" t="s">
        <v>51</v>
      </c>
      <c r="B9" s="14" t="s">
        <v>8</v>
      </c>
      <c r="C9" s="14" t="s">
        <v>52</v>
      </c>
      <c r="D9" s="14" t="s">
        <v>34</v>
      </c>
      <c r="E9" s="37">
        <v>46256</v>
      </c>
      <c r="H9" s="14" t="s">
        <v>9</v>
      </c>
      <c r="I9" s="14" t="s">
        <v>35</v>
      </c>
      <c r="N9" s="14" t="s">
        <v>9</v>
      </c>
      <c r="O9" s="14" t="s">
        <v>35</v>
      </c>
      <c r="U9" s="14" t="s">
        <v>9</v>
      </c>
      <c r="V9" s="14" t="s">
        <v>35</v>
      </c>
      <c r="AA9" s="14" t="s">
        <v>9</v>
      </c>
      <c r="AB9" s="14" t="s">
        <v>35</v>
      </c>
    </row>
    <row r="10" spans="1:34" ht="15" customHeight="1" x14ac:dyDescent="0.2">
      <c r="A10" s="36" t="s">
        <v>53</v>
      </c>
      <c r="B10" s="14" t="s">
        <v>8</v>
      </c>
      <c r="C10" s="14" t="s">
        <v>54</v>
      </c>
      <c r="D10" s="14" t="s">
        <v>34</v>
      </c>
      <c r="E10" s="37">
        <v>46256</v>
      </c>
      <c r="H10" s="14" t="s">
        <v>9</v>
      </c>
      <c r="I10" s="14" t="s">
        <v>35</v>
      </c>
      <c r="N10" s="14" t="s">
        <v>9</v>
      </c>
      <c r="O10" s="14" t="s">
        <v>35</v>
      </c>
      <c r="U10" s="14" t="s">
        <v>9</v>
      </c>
      <c r="V10" s="14" t="s">
        <v>35</v>
      </c>
      <c r="AA10" s="14" t="s">
        <v>9</v>
      </c>
      <c r="AB10" s="14" t="s">
        <v>35</v>
      </c>
    </row>
    <row r="11" spans="1:34" ht="15" customHeight="1" x14ac:dyDescent="0.2">
      <c r="A11" s="36" t="s">
        <v>55</v>
      </c>
      <c r="B11" s="14" t="s">
        <v>8</v>
      </c>
      <c r="C11" s="14" t="s">
        <v>56</v>
      </c>
      <c r="D11" s="14" t="s">
        <v>34</v>
      </c>
      <c r="E11" s="37">
        <v>46256</v>
      </c>
      <c r="H11" s="14" t="s">
        <v>9</v>
      </c>
      <c r="I11" s="14" t="s">
        <v>35</v>
      </c>
      <c r="N11" s="14" t="s">
        <v>9</v>
      </c>
      <c r="O11" s="14" t="s">
        <v>35</v>
      </c>
      <c r="U11" s="14" t="s">
        <v>9</v>
      </c>
      <c r="V11" s="14" t="s">
        <v>35</v>
      </c>
      <c r="AA11" s="14" t="s">
        <v>9</v>
      </c>
      <c r="AB11" s="14" t="s">
        <v>35</v>
      </c>
    </row>
    <row r="12" spans="1:34" ht="15" customHeight="1" x14ac:dyDescent="0.2">
      <c r="A12" s="36" t="s">
        <v>57</v>
      </c>
      <c r="B12" s="14" t="s">
        <v>8</v>
      </c>
      <c r="C12" s="14" t="s">
        <v>58</v>
      </c>
      <c r="D12" s="14" t="s">
        <v>34</v>
      </c>
      <c r="E12" s="37">
        <v>46256</v>
      </c>
      <c r="H12" s="14" t="s">
        <v>9</v>
      </c>
      <c r="I12" s="14" t="s">
        <v>35</v>
      </c>
      <c r="N12" s="14" t="s">
        <v>9</v>
      </c>
      <c r="O12" s="14" t="s">
        <v>35</v>
      </c>
      <c r="U12" s="14" t="s">
        <v>9</v>
      </c>
      <c r="V12" s="14" t="s">
        <v>35</v>
      </c>
      <c r="AA12" s="14" t="s">
        <v>9</v>
      </c>
      <c r="AB12" s="14" t="s">
        <v>35</v>
      </c>
    </row>
    <row r="13" spans="1:34" ht="15" customHeight="1" x14ac:dyDescent="0.2">
      <c r="A13" s="34" t="s">
        <v>59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4" ht="15" customHeight="1" x14ac:dyDescent="0.2">
      <c r="A14" s="36" t="s">
        <v>60</v>
      </c>
      <c r="B14" s="14" t="s">
        <v>8</v>
      </c>
      <c r="C14" s="14" t="s">
        <v>61</v>
      </c>
      <c r="D14" t="s">
        <v>34</v>
      </c>
      <c r="E14" s="38">
        <v>46256</v>
      </c>
      <c r="H14" s="14" t="s">
        <v>9</v>
      </c>
      <c r="I14" s="14" t="s">
        <v>35</v>
      </c>
      <c r="N14" s="14" t="s">
        <v>9</v>
      </c>
      <c r="O14" s="14" t="s">
        <v>35</v>
      </c>
      <c r="U14" s="14" t="s">
        <v>9</v>
      </c>
      <c r="V14" s="14" t="s">
        <v>35</v>
      </c>
      <c r="AA14" s="14" t="s">
        <v>9</v>
      </c>
      <c r="AB14" s="14" t="s">
        <v>35</v>
      </c>
    </row>
    <row r="15" spans="1:34" ht="15" customHeight="1" x14ac:dyDescent="0.2">
      <c r="A15" s="36" t="s">
        <v>62</v>
      </c>
      <c r="B15" s="14" t="s">
        <v>8</v>
      </c>
      <c r="C15" s="14" t="s">
        <v>63</v>
      </c>
      <c r="D15" t="s">
        <v>34</v>
      </c>
      <c r="E15" s="38">
        <v>46256</v>
      </c>
      <c r="H15" s="14" t="s">
        <v>9</v>
      </c>
      <c r="I15" s="14" t="s">
        <v>35</v>
      </c>
      <c r="N15" s="14" t="s">
        <v>9</v>
      </c>
      <c r="O15" s="14" t="s">
        <v>35</v>
      </c>
      <c r="U15" s="14" t="s">
        <v>9</v>
      </c>
      <c r="V15" s="14" t="s">
        <v>35</v>
      </c>
      <c r="AA15" s="14" t="s">
        <v>9</v>
      </c>
      <c r="AB15" s="14" t="s">
        <v>35</v>
      </c>
    </row>
    <row r="16" spans="1:34" ht="15" customHeight="1" x14ac:dyDescent="0.2">
      <c r="A16" s="36" t="s">
        <v>64</v>
      </c>
      <c r="B16" s="14" t="s">
        <v>8</v>
      </c>
      <c r="C16" s="14" t="s">
        <v>65</v>
      </c>
      <c r="D16" t="s">
        <v>34</v>
      </c>
      <c r="E16" s="38">
        <v>46256</v>
      </c>
      <c r="H16" s="14" t="s">
        <v>9</v>
      </c>
      <c r="I16" s="14" t="s">
        <v>35</v>
      </c>
      <c r="N16" s="14" t="s">
        <v>9</v>
      </c>
      <c r="O16" s="14" t="s">
        <v>35</v>
      </c>
      <c r="U16" s="14" t="s">
        <v>9</v>
      </c>
      <c r="V16" s="14" t="s">
        <v>35</v>
      </c>
      <c r="AA16" s="14" t="s">
        <v>9</v>
      </c>
      <c r="AB16" s="14" t="s">
        <v>35</v>
      </c>
    </row>
    <row r="17" spans="1:32" ht="15" customHeight="1" x14ac:dyDescent="0.2">
      <c r="A17" s="36" t="s">
        <v>66</v>
      </c>
      <c r="B17" s="14" t="s">
        <v>8</v>
      </c>
      <c r="C17" s="14" t="s">
        <v>67</v>
      </c>
      <c r="D17" t="s">
        <v>34</v>
      </c>
      <c r="E17" s="38">
        <v>46256</v>
      </c>
      <c r="H17" s="14" t="s">
        <v>9</v>
      </c>
      <c r="I17" s="14" t="s">
        <v>35</v>
      </c>
      <c r="N17" s="14" t="s">
        <v>9</v>
      </c>
      <c r="O17" s="14" t="s">
        <v>35</v>
      </c>
      <c r="U17" s="14" t="s">
        <v>9</v>
      </c>
      <c r="V17" s="14" t="s">
        <v>35</v>
      </c>
      <c r="AA17" s="14" t="s">
        <v>9</v>
      </c>
      <c r="AB17" s="14" t="s">
        <v>35</v>
      </c>
    </row>
    <row r="18" spans="1:32" ht="15" customHeight="1" x14ac:dyDescent="0.2">
      <c r="A18" s="36" t="s">
        <v>68</v>
      </c>
      <c r="B18" s="14" t="s">
        <v>8</v>
      </c>
      <c r="C18" s="14" t="s">
        <v>69</v>
      </c>
      <c r="D18" s="14" t="s">
        <v>34</v>
      </c>
      <c r="E18" s="37">
        <v>46256</v>
      </c>
      <c r="H18" s="14" t="s">
        <v>9</v>
      </c>
      <c r="I18" s="14" t="s">
        <v>35</v>
      </c>
      <c r="N18" s="14" t="s">
        <v>9</v>
      </c>
      <c r="O18" s="14" t="s">
        <v>35</v>
      </c>
      <c r="U18" s="14" t="s">
        <v>9</v>
      </c>
      <c r="V18" s="14" t="s">
        <v>35</v>
      </c>
      <c r="AA18" s="14" t="s">
        <v>9</v>
      </c>
      <c r="AB18" s="14" t="s">
        <v>35</v>
      </c>
    </row>
    <row r="19" spans="1:32" ht="15" customHeight="1" x14ac:dyDescent="0.2">
      <c r="A19" s="36" t="s">
        <v>70</v>
      </c>
      <c r="B19" s="14" t="s">
        <v>8</v>
      </c>
      <c r="C19" s="14" t="s">
        <v>71</v>
      </c>
      <c r="D19" s="14" t="s">
        <v>34</v>
      </c>
      <c r="E19" s="37">
        <v>46256</v>
      </c>
      <c r="H19" s="14" t="s">
        <v>9</v>
      </c>
      <c r="I19" s="14" t="s">
        <v>35</v>
      </c>
      <c r="N19" s="14" t="s">
        <v>9</v>
      </c>
      <c r="O19" s="14" t="s">
        <v>35</v>
      </c>
      <c r="U19" s="14" t="s">
        <v>9</v>
      </c>
      <c r="V19" s="14" t="s">
        <v>35</v>
      </c>
      <c r="AA19" s="14" t="s">
        <v>9</v>
      </c>
      <c r="AB19" s="14" t="s">
        <v>35</v>
      </c>
    </row>
    <row r="20" spans="1:32" ht="15" customHeight="1" x14ac:dyDescent="0.2">
      <c r="A20" s="36" t="s">
        <v>72</v>
      </c>
      <c r="B20" s="14" t="s">
        <v>8</v>
      </c>
      <c r="C20" s="14" t="s">
        <v>73</v>
      </c>
      <c r="D20" s="14" t="s">
        <v>34</v>
      </c>
      <c r="E20" s="37">
        <v>46256</v>
      </c>
      <c r="H20" s="14" t="s">
        <v>9</v>
      </c>
      <c r="I20" s="14" t="s">
        <v>35</v>
      </c>
      <c r="N20" s="14" t="s">
        <v>9</v>
      </c>
      <c r="O20" s="14" t="s">
        <v>35</v>
      </c>
      <c r="U20" s="14" t="s">
        <v>9</v>
      </c>
      <c r="V20" s="14" t="s">
        <v>35</v>
      </c>
      <c r="AA20" s="14" t="s">
        <v>9</v>
      </c>
      <c r="AB20" s="14" t="s">
        <v>35</v>
      </c>
    </row>
    <row r="21" spans="1:32" ht="15" customHeight="1" x14ac:dyDescent="0.2">
      <c r="A21" s="34" t="s">
        <v>74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15" customHeight="1" x14ac:dyDescent="0.2">
      <c r="A22" s="36" t="s">
        <v>75</v>
      </c>
      <c r="B22" s="14" t="s">
        <v>8</v>
      </c>
      <c r="C22" s="14" t="s">
        <v>76</v>
      </c>
      <c r="D22" s="14" t="s">
        <v>77</v>
      </c>
      <c r="E22" s="37">
        <v>46257</v>
      </c>
      <c r="H22" s="14" t="s">
        <v>9</v>
      </c>
      <c r="I22" s="14" t="s">
        <v>35</v>
      </c>
      <c r="N22" s="14" t="s">
        <v>9</v>
      </c>
      <c r="O22" s="14" t="s">
        <v>35</v>
      </c>
      <c r="U22" s="14" t="s">
        <v>9</v>
      </c>
      <c r="V22" s="14" t="s">
        <v>35</v>
      </c>
      <c r="AA22" s="14" t="s">
        <v>9</v>
      </c>
      <c r="AB22" s="14" t="s">
        <v>35</v>
      </c>
    </row>
    <row r="23" spans="1:32" ht="15" customHeight="1" x14ac:dyDescent="0.2">
      <c r="A23" s="36" t="s">
        <v>78</v>
      </c>
      <c r="B23" s="14" t="s">
        <v>8</v>
      </c>
      <c r="C23" s="14" t="s">
        <v>79</v>
      </c>
      <c r="D23" s="14" t="s">
        <v>34</v>
      </c>
      <c r="E23" s="37">
        <v>46256</v>
      </c>
      <c r="H23" s="14" t="s">
        <v>9</v>
      </c>
      <c r="I23" s="14" t="s">
        <v>35</v>
      </c>
      <c r="N23" s="14" t="s">
        <v>9</v>
      </c>
      <c r="O23" s="14" t="s">
        <v>35</v>
      </c>
      <c r="U23" s="14" t="s">
        <v>9</v>
      </c>
      <c r="V23" s="14" t="s">
        <v>35</v>
      </c>
      <c r="AA23" s="14" t="s">
        <v>9</v>
      </c>
      <c r="AB23" s="14" t="s">
        <v>35</v>
      </c>
    </row>
    <row r="24" spans="1:32" ht="15" customHeight="1" x14ac:dyDescent="0.2">
      <c r="A24" s="36" t="s">
        <v>80</v>
      </c>
      <c r="B24" s="14" t="s">
        <v>8</v>
      </c>
      <c r="C24" s="14" t="s">
        <v>81</v>
      </c>
      <c r="D24" t="s">
        <v>34</v>
      </c>
      <c r="E24" s="38">
        <v>46256</v>
      </c>
      <c r="H24" s="14" t="s">
        <v>9</v>
      </c>
      <c r="I24" s="14" t="s">
        <v>35</v>
      </c>
      <c r="N24" s="14" t="s">
        <v>9</v>
      </c>
      <c r="O24" s="14" t="s">
        <v>35</v>
      </c>
      <c r="U24" s="14" t="s">
        <v>9</v>
      </c>
      <c r="V24" s="14" t="s">
        <v>35</v>
      </c>
      <c r="AA24" s="14" t="s">
        <v>9</v>
      </c>
      <c r="AB24" s="14" t="s">
        <v>35</v>
      </c>
    </row>
  </sheetData>
  <conditionalFormatting sqref="B2:B200">
    <cfRule type="cellIs" dxfId="9" priority="2" operator="equal">
      <formula>"Closed"</formula>
    </cfRule>
    <cfRule type="cellIs" dxfId="8" priority="3" operator="equal">
      <formula>"Open"</formula>
    </cfRule>
  </conditionalFormatting>
  <conditionalFormatting sqref="H2:H200">
    <cfRule type="cellIs" dxfId="7" priority="4" operator="equal">
      <formula>"Closed"</formula>
    </cfRule>
    <cfRule type="cellIs" dxfId="6" priority="5" operator="equal">
      <formula>"Open"</formula>
    </cfRule>
  </conditionalFormatting>
  <conditionalFormatting sqref="N2:N200">
    <cfRule type="cellIs" dxfId="5" priority="6" operator="equal">
      <formula>"Closed"</formula>
    </cfRule>
    <cfRule type="cellIs" dxfId="4" priority="7" operator="equal">
      <formula>"Open"</formula>
    </cfRule>
  </conditionalFormatting>
  <conditionalFormatting sqref="U2:U200">
    <cfRule type="cellIs" dxfId="3" priority="8" operator="equal">
      <formula>"Closed"</formula>
    </cfRule>
    <cfRule type="cellIs" dxfId="2" priority="9" operator="equal">
      <formula>"Open"</formula>
    </cfRule>
  </conditionalFormatting>
  <conditionalFormatting sqref="AA2:AA200">
    <cfRule type="cellIs" dxfId="1" priority="10" operator="equal">
      <formula>"Closed"</formula>
    </cfRule>
    <cfRule type="cellIs" dxfId="0" priority="11" operator="equal">
      <formula>"Open"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5" customHeight="1" x14ac:dyDescent="0.2">
      <c r="A1" s="39" t="s">
        <v>82</v>
      </c>
    </row>
    <row r="3" spans="1:1" ht="15" customHeight="1" x14ac:dyDescent="0.2">
      <c r="A3" s="40" t="s">
        <v>83</v>
      </c>
    </row>
    <row r="4" spans="1:1" ht="15" customHeight="1" x14ac:dyDescent="0.2">
      <c r="A4" s="40"/>
    </row>
    <row r="5" spans="1:1" ht="27.75" customHeight="1" x14ac:dyDescent="0.2">
      <c r="A5" s="40" t="s">
        <v>84</v>
      </c>
    </row>
    <row r="6" spans="1:1" ht="27.75" customHeight="1" x14ac:dyDescent="0.2">
      <c r="A6" s="40" t="s">
        <v>85</v>
      </c>
    </row>
    <row r="7" spans="1:1" ht="27.75" customHeight="1" x14ac:dyDescent="0.2">
      <c r="A7" s="40" t="s">
        <v>86</v>
      </c>
    </row>
    <row r="8" spans="1:1" ht="27.75" customHeight="1" x14ac:dyDescent="0.2">
      <c r="A8" s="40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Project Tracking System V2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Krishna Praveen Rao</cp:lastModifiedBy>
  <cp:revision>4</cp:revision>
  <dcterms:created xsi:type="dcterms:W3CDTF">2026-08-22T12:36:45Z</dcterms:created>
  <dcterms:modified xsi:type="dcterms:W3CDTF">2026-08-23T16:33:06Z</dcterms:modified>
  <dc:language>en-US</dc:language>
</cp:coreProperties>
</file>